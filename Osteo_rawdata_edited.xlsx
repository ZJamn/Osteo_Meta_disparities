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1EC51C19-B365-4D1F-9F82-886F551D3E1D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Meds_Sex" sheetId="1" r:id="rId1"/>
    <sheet name="Dexa_Sex" sheetId="2" r:id="rId2"/>
    <sheet name="Meds_Race" sheetId="3" r:id="rId3"/>
    <sheet name="Dexa_Rac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E7" i="1"/>
  <c r="G3" i="1"/>
  <c r="E3" i="1"/>
  <c r="H3" i="1"/>
  <c r="G7" i="2"/>
  <c r="E7" i="2"/>
  <c r="F7" i="2"/>
  <c r="D7" i="2"/>
  <c r="C7" i="2"/>
  <c r="B7" i="2"/>
  <c r="G8" i="2"/>
  <c r="E8" i="2"/>
  <c r="G6" i="3"/>
  <c r="E6" i="3"/>
  <c r="F5" i="3"/>
  <c r="D5" i="3"/>
  <c r="C5" i="3"/>
  <c r="G5" i="3" s="1"/>
  <c r="B5" i="3"/>
  <c r="E5" i="3" s="1"/>
  <c r="G2" i="3"/>
  <c r="E2" i="3"/>
  <c r="F4" i="3"/>
  <c r="G4" i="3" s="1"/>
  <c r="D4" i="3"/>
  <c r="E4" i="3" s="1"/>
  <c r="C3" i="3"/>
  <c r="G3" i="3" s="1"/>
  <c r="B3" i="3"/>
  <c r="E3" i="3" s="1"/>
  <c r="G2" i="4"/>
  <c r="E2" i="4"/>
  <c r="G6" i="2"/>
  <c r="E6" i="2"/>
  <c r="G5" i="2"/>
  <c r="E5" i="2"/>
  <c r="H4" i="2"/>
  <c r="H3" i="2"/>
  <c r="H2" i="2"/>
  <c r="G4" i="2"/>
  <c r="E4" i="2"/>
  <c r="G3" i="2"/>
  <c r="E3" i="2"/>
  <c r="G2" i="2"/>
  <c r="E2" i="2"/>
  <c r="D14" i="1"/>
  <c r="F14" i="1"/>
  <c r="B14" i="1"/>
  <c r="C14" i="1"/>
  <c r="H13" i="1"/>
  <c r="F12" i="1"/>
  <c r="G12" i="1" s="1"/>
  <c r="D12" i="1"/>
  <c r="F15" i="1"/>
  <c r="G15" i="1" s="1"/>
  <c r="D15" i="1"/>
  <c r="D11" i="1"/>
  <c r="E11" i="1"/>
  <c r="F11" i="1"/>
  <c r="G11" i="1"/>
  <c r="H11" i="1"/>
  <c r="G10" i="1"/>
  <c r="E10" i="1"/>
  <c r="F9" i="1"/>
  <c r="G9" i="1" s="1"/>
  <c r="D9" i="1"/>
  <c r="F8" i="1"/>
  <c r="G8" i="1" s="1"/>
  <c r="D8" i="1"/>
  <c r="G6" i="1"/>
  <c r="E6" i="1"/>
  <c r="G5" i="1"/>
  <c r="E5" i="1"/>
  <c r="G4" i="1"/>
  <c r="E4" i="1"/>
  <c r="F2" i="1"/>
  <c r="G2" i="1" s="1"/>
  <c r="D2" i="1"/>
  <c r="H2" i="4" l="1"/>
  <c r="G14" i="1"/>
  <c r="E14" i="1"/>
  <c r="H14" i="1"/>
  <c r="H7" i="1"/>
  <c r="H7" i="2"/>
  <c r="H8" i="2"/>
  <c r="H5" i="3"/>
  <c r="H6" i="3"/>
  <c r="H2" i="3"/>
  <c r="H4" i="3"/>
  <c r="H3" i="3"/>
  <c r="H6" i="2"/>
  <c r="H5" i="2"/>
  <c r="E12" i="1"/>
  <c r="H12" i="1" s="1"/>
  <c r="H10" i="1"/>
  <c r="E15" i="1"/>
  <c r="H15" i="1" s="1"/>
  <c r="E9" i="1"/>
  <c r="H9" i="1" s="1"/>
  <c r="E8" i="1"/>
  <c r="H8" i="1" s="1"/>
  <c r="H4" i="1"/>
  <c r="H5" i="1"/>
  <c r="H6" i="1"/>
  <c r="E2" i="1"/>
  <c r="H2" i="1" s="1"/>
</calcChain>
</file>

<file path=xl/sharedStrings.xml><?xml version="1.0" encoding="utf-8"?>
<sst xmlns="http://schemas.openxmlformats.org/spreadsheetml/2006/main" count="80" uniqueCount="68">
  <si>
    <t>Authors</t>
  </si>
  <si>
    <t>male_all</t>
  </si>
  <si>
    <t>female_all</t>
  </si>
  <si>
    <t>male_meds</t>
  </si>
  <si>
    <t>male_nonmeds</t>
  </si>
  <si>
    <t>female_meds</t>
  </si>
  <si>
    <t>female_nonmeds</t>
  </si>
  <si>
    <t>OR_Meds_sex</t>
  </si>
  <si>
    <t>Klop2015</t>
  </si>
  <si>
    <t>Lee2019</t>
  </si>
  <si>
    <t xml:space="preserve">including vitamin D taken in meds </t>
  </si>
  <si>
    <t>Leslie2012</t>
  </si>
  <si>
    <t>Liu2016</t>
  </si>
  <si>
    <t>Mendis2017</t>
  </si>
  <si>
    <t>Navarro2011</t>
  </si>
  <si>
    <t>% reported only; totals (n=100 per group) assumed for OR calculation.  raw counts not reported.
Source: Navarro 2011 — hip-fracture subgroup (Female 73.5 %, Male 30.7 %).</t>
  </si>
  <si>
    <t>Neuner2003</t>
  </si>
  <si>
    <t>Ansari2017</t>
  </si>
  <si>
    <t>Oertel2016</t>
  </si>
  <si>
    <t xml:space="preserve">Antonelli2014 </t>
  </si>
  <si>
    <t xml:space="preserve">Chau2020 </t>
  </si>
  <si>
    <t>OR directly reported, 0.528 (95% CI 0.308–0.905)</t>
  </si>
  <si>
    <t xml:space="preserve">Dagenais2010 </t>
  </si>
  <si>
    <t>2001 cohort  and 2003 cohort data combined.</t>
  </si>
  <si>
    <t xml:space="preserve">Che2006 </t>
  </si>
  <si>
    <t>72  of 169 qualified for meds (7M, 65F). 47 accepted treatment (6M, 41F).</t>
  </si>
  <si>
    <t>male_dexa</t>
  </si>
  <si>
    <t>male_nondexa</t>
  </si>
  <si>
    <t>female_dexa</t>
  </si>
  <si>
    <t>female_nondexa</t>
  </si>
  <si>
    <t>OR_Dexa_sex</t>
  </si>
  <si>
    <t xml:space="preserve">Note </t>
  </si>
  <si>
    <t>Lee 2019</t>
  </si>
  <si>
    <t>Leslie 2012</t>
  </si>
  <si>
    <t>Mendis 2017</t>
  </si>
  <si>
    <t>P=0.353 not statistically significant</t>
  </si>
  <si>
    <t xml:space="preserve">Cuddihy 2004 </t>
  </si>
  <si>
    <t>Oertel 2016</t>
  </si>
  <si>
    <t xml:space="preserve">Dagenais 2010 </t>
  </si>
  <si>
    <t>Reported from table 2.
 Date combines both 2001 and 2003 cohort</t>
  </si>
  <si>
    <t xml:space="preserve">Balogh 2017 </t>
  </si>
  <si>
    <t>Combined IDD + non-IDD cohorts
Total = 3304 pts (185 IDD + 3119 non-IDD)
 700 received BMD test (21.2 %).
Reported rates: 16.2 % (30/185) IDD and 21.5 % (670/3119) non-IDD.
Using weighted sex ratio (~70 % female), estimated post-fracture BMD testing ≈ 25 % females vs 11 % males (scaled so total = 700 tested).</t>
  </si>
  <si>
    <t>black_all</t>
  </si>
  <si>
    <t>white_all</t>
  </si>
  <si>
    <t>black_meds</t>
  </si>
  <si>
    <t>black_nonmeds</t>
  </si>
  <si>
    <t>white_meds</t>
  </si>
  <si>
    <t>white_nonmeds</t>
  </si>
  <si>
    <t>OR_Meds_race</t>
  </si>
  <si>
    <t>Note</t>
  </si>
  <si>
    <t>including vitamin D taken in the meds</t>
  </si>
  <si>
    <t>Mudano 2003</t>
  </si>
  <si>
    <t>Navarro 2011</t>
  </si>
  <si>
    <t>% reported only. Reported from table 3-4:
Female: White = 75.6 %, Black = 54.9 %
Male: White = 35.0 %, Black = 11.1 %
Sex-combined using actual female:male ratio = 0.703:0.297
Totals (n=100 each) assumed only for OR calculation; raw counts not reported.</t>
  </si>
  <si>
    <t>Neuner 2003</t>
  </si>
  <si>
    <t>female data available only</t>
  </si>
  <si>
    <t>Ryder 2006</t>
  </si>
  <si>
    <t xml:space="preserve">This was prescription medicine in only 16 of 76
white women compared with only 8 of 66 black women,
P=.36. </t>
  </si>
  <si>
    <t>black_dexa</t>
  </si>
  <si>
    <t>black_nondexa</t>
  </si>
  <si>
    <t>white_dexa</t>
  </si>
  <si>
    <t>white_nondexa</t>
  </si>
  <si>
    <t>OR_Dexa_race</t>
  </si>
  <si>
    <t>0.34 (0.30–0.40)</t>
  </si>
  <si>
    <t>Reported. AOR: 0.47 (0.39–0.58)</t>
  </si>
  <si>
    <t>Neuner 2007</t>
  </si>
  <si>
    <t>0.52 (0.43, 0.62)</t>
  </si>
  <si>
    <t xml:space="preserve">Reported.
before fracture: 0.52
after fracture: 0.66 [0.50, 0.88]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</si>
</sst>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30303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7EFB2"/>
        <bgColor indexed="64"/>
      </patternFill>
    </fill>
  </fills>
  <borders count="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2" xfId="0" applyBorder="1"/>
    <xf numFmtId="1" fontId="0" fillId="0" borderId="3" xfId="0" applyNumberFormat="1" applyBorder="1"/>
    <xf numFmtId="0" fontId="0" fillId="0" borderId="1" xfId="0" applyBorder="1"/>
    <xf numFmtId="0" fontId="0" fillId="0" borderId="4" xfId="0" applyBorder="1"/>
    <xf numFmtId="1" fontId="0" fillId="0" borderId="5" xfId="0" applyNumberFormat="1" applyBorder="1"/>
    <xf numFmtId="0" fontId="0" fillId="0" borderId="6" xfId="0" applyBorder="1"/>
    <xf numFmtId="1" fontId="0" fillId="0" borderId="6" xfId="0" applyNumberForma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>
      <selection activeCell="D13" sqref="D13"/>
    </sheetView>
  </sheetViews>
  <sheetFormatPr defaultRowHeight="15"/>
  <cols>
    <col min="1" max="1" width="12.7109375" bestFit="1" customWidth="1"/>
    <col min="3" max="3" width="11" customWidth="1"/>
    <col min="4" max="4" width="12.140625" customWidth="1"/>
    <col min="5" max="5" width="14.42578125" bestFit="1" customWidth="1"/>
    <col min="6" max="6" width="12.7109375" bestFit="1" customWidth="1"/>
    <col min="7" max="7" width="16.140625" bestFit="1" customWidth="1"/>
    <col min="8" max="8" width="12.5703125" bestFit="1" customWidth="1"/>
    <col min="9" max="9" width="6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2" customFormat="1">
      <c r="A2" s="3" t="s">
        <v>8</v>
      </c>
      <c r="B2">
        <v>7051</v>
      </c>
      <c r="C2">
        <v>20491</v>
      </c>
      <c r="D2" s="5">
        <f>7051*33.6%</f>
        <v>2369.136</v>
      </c>
      <c r="E2" s="5">
        <f>B2-D2</f>
        <v>4681.8639999999996</v>
      </c>
      <c r="F2" s="5">
        <f xml:space="preserve"> 20491*51.3%</f>
        <v>10511.883</v>
      </c>
      <c r="G2" s="5">
        <f>C2-F2</f>
        <v>9979.1170000000002</v>
      </c>
      <c r="H2" s="6">
        <f>D2*G2/(E2*F2)</f>
        <v>0.48037765095469603</v>
      </c>
      <c r="I2"/>
    </row>
    <row r="3" spans="1:9">
      <c r="A3" s="3" t="s">
        <v>9</v>
      </c>
      <c r="B3">
        <v>72</v>
      </c>
      <c r="C3" s="3">
        <v>119</v>
      </c>
      <c r="D3">
        <v>13</v>
      </c>
      <c r="E3">
        <f>B3-D3</f>
        <v>59</v>
      </c>
      <c r="F3">
        <v>46</v>
      </c>
      <c r="G3">
        <f>C3-F3</f>
        <v>73</v>
      </c>
      <c r="H3">
        <f>D3*G3/(E3*F3)</f>
        <v>0.34966838614591012</v>
      </c>
      <c r="I3" t="s">
        <v>10</v>
      </c>
    </row>
    <row r="4" spans="1:9">
      <c r="A4" s="3" t="s">
        <v>11</v>
      </c>
      <c r="B4">
        <v>3304</v>
      </c>
      <c r="C4">
        <v>7930</v>
      </c>
      <c r="D4">
        <v>235</v>
      </c>
      <c r="E4" s="5">
        <f t="shared" ref="E4:E7" si="0">B4-D4</f>
        <v>3069</v>
      </c>
      <c r="F4">
        <v>1138</v>
      </c>
      <c r="G4" s="5">
        <f>C4-F4</f>
        <v>6792</v>
      </c>
      <c r="H4" s="6">
        <f>D4*G4/(E4*F4)</f>
        <v>0.45701072176495955</v>
      </c>
    </row>
    <row r="5" spans="1:9">
      <c r="A5" s="7" t="s">
        <v>12</v>
      </c>
      <c r="B5">
        <v>8007</v>
      </c>
      <c r="C5">
        <v>28958</v>
      </c>
      <c r="D5">
        <v>814</v>
      </c>
      <c r="E5" s="5">
        <f t="shared" si="0"/>
        <v>7193</v>
      </c>
      <c r="F5">
        <v>7805</v>
      </c>
      <c r="G5" s="5">
        <f>C5-F5</f>
        <v>21153</v>
      </c>
      <c r="H5" s="6">
        <f>D5*G5/(E5*F5)</f>
        <v>0.30669973913174359</v>
      </c>
    </row>
    <row r="6" spans="1:9">
      <c r="A6" s="7" t="s">
        <v>13</v>
      </c>
      <c r="B6">
        <v>27</v>
      </c>
      <c r="C6">
        <v>60</v>
      </c>
      <c r="D6">
        <v>6</v>
      </c>
      <c r="E6" s="5">
        <f t="shared" si="0"/>
        <v>21</v>
      </c>
      <c r="F6">
        <v>26</v>
      </c>
      <c r="G6" s="5">
        <f>C6-F6</f>
        <v>34</v>
      </c>
      <c r="H6" s="6">
        <f>D6*G6/(E6*F6)</f>
        <v>0.37362637362637363</v>
      </c>
    </row>
    <row r="7" spans="1:9" ht="57.75">
      <c r="A7" s="3" t="s">
        <v>14</v>
      </c>
      <c r="B7">
        <v>100</v>
      </c>
      <c r="C7">
        <v>100</v>
      </c>
      <c r="D7">
        <v>73.5</v>
      </c>
      <c r="E7" s="5">
        <f t="shared" si="0"/>
        <v>26.5</v>
      </c>
      <c r="F7">
        <v>30.7</v>
      </c>
      <c r="G7" s="5">
        <f>C7-F7</f>
        <v>69.3</v>
      </c>
      <c r="H7" s="6">
        <f>D7*G7/(E7*F7)</f>
        <v>6.2608936144059992</v>
      </c>
      <c r="I7" s="19" t="s">
        <v>15</v>
      </c>
    </row>
    <row r="8" spans="1:9">
      <c r="A8" s="3" t="s">
        <v>16</v>
      </c>
      <c r="B8">
        <v>59</v>
      </c>
      <c r="C8" s="8">
        <v>147</v>
      </c>
      <c r="D8" s="5">
        <f>59*0.14</f>
        <v>8.2600000000000016</v>
      </c>
      <c r="E8" s="5">
        <f t="shared" ref="E8" si="1">B8-D8</f>
        <v>50.739999999999995</v>
      </c>
      <c r="F8" s="9">
        <f>147*0.39</f>
        <v>57.330000000000005</v>
      </c>
      <c r="G8" s="9">
        <f>C8-F8</f>
        <v>89.669999999999987</v>
      </c>
      <c r="H8" s="6">
        <f>D8*G8/(E8*F8)</f>
        <v>0.25462134764460348</v>
      </c>
    </row>
    <row r="9" spans="1:9">
      <c r="A9" s="7" t="s">
        <v>17</v>
      </c>
      <c r="B9">
        <v>372</v>
      </c>
      <c r="C9" s="10">
        <v>1330</v>
      </c>
      <c r="D9" s="11">
        <f>(57 + 94)</f>
        <v>151</v>
      </c>
      <c r="E9" s="12">
        <f>B9-D9</f>
        <v>221</v>
      </c>
      <c r="F9" s="13">
        <f>(209 + 427)</f>
        <v>636</v>
      </c>
      <c r="G9" s="14">
        <f>C9-F9</f>
        <v>694</v>
      </c>
      <c r="H9" s="6">
        <f>D9*G9/(E9*F9)</f>
        <v>0.74556760294829105</v>
      </c>
    </row>
    <row r="10" spans="1:9">
      <c r="A10" s="3" t="s">
        <v>18</v>
      </c>
      <c r="B10">
        <v>399</v>
      </c>
      <c r="C10">
        <v>820</v>
      </c>
      <c r="D10">
        <v>48</v>
      </c>
      <c r="E10">
        <f>B10-D10</f>
        <v>351</v>
      </c>
      <c r="F10">
        <v>208</v>
      </c>
      <c r="G10">
        <f>C10-F10</f>
        <v>612</v>
      </c>
      <c r="H10">
        <f>D10*G10/(E10*F10)</f>
        <v>0.40236686390532544</v>
      </c>
    </row>
    <row r="11" spans="1:9">
      <c r="A11" s="4" t="s">
        <v>17</v>
      </c>
      <c r="B11">
        <v>372</v>
      </c>
      <c r="C11" s="10">
        <v>1330</v>
      </c>
      <c r="D11" s="11">
        <f>(57 + 94)</f>
        <v>151</v>
      </c>
      <c r="E11" s="12">
        <f>B11-D11</f>
        <v>221</v>
      </c>
      <c r="F11" s="13">
        <f>(209 + 427)</f>
        <v>636</v>
      </c>
      <c r="G11" s="14">
        <f>C11-F11</f>
        <v>694</v>
      </c>
      <c r="H11" s="6">
        <f>D11*G11/(E11*F11)</f>
        <v>0.74556760294829105</v>
      </c>
    </row>
    <row r="12" spans="1:9">
      <c r="A12" s="4" t="s">
        <v>19</v>
      </c>
      <c r="B12">
        <v>792</v>
      </c>
      <c r="C12">
        <v>2413</v>
      </c>
      <c r="D12">
        <f>75+178</f>
        <v>253</v>
      </c>
      <c r="E12">
        <f>B12-D12</f>
        <v>539</v>
      </c>
      <c r="F12">
        <f>775+346</f>
        <v>1121</v>
      </c>
      <c r="G12">
        <f>C12-F12</f>
        <v>1292</v>
      </c>
      <c r="H12" s="6">
        <f>D12*G12/(E12*F12)</f>
        <v>0.54098927706675892</v>
      </c>
    </row>
    <row r="13" spans="1:9">
      <c r="A13" s="4" t="s">
        <v>20</v>
      </c>
      <c r="H13">
        <f>1/0.528</f>
        <v>1.8939393939393938</v>
      </c>
      <c r="I13" t="s">
        <v>21</v>
      </c>
    </row>
    <row r="14" spans="1:9">
      <c r="A14" s="3" t="s">
        <v>22</v>
      </c>
      <c r="B14">
        <f>1519+1715</f>
        <v>3234</v>
      </c>
      <c r="C14">
        <f>5207+5408</f>
        <v>10615</v>
      </c>
      <c r="D14">
        <f>146+244</f>
        <v>390</v>
      </c>
      <c r="E14">
        <f>B14-D14</f>
        <v>2844</v>
      </c>
      <c r="F14">
        <f>1335+1754</f>
        <v>3089</v>
      </c>
      <c r="G14">
        <f>C14-F14</f>
        <v>7526</v>
      </c>
      <c r="H14">
        <f>D14*F14/(E14*G14)</f>
        <v>5.6284486634799645E-2</v>
      </c>
      <c r="I14" t="s">
        <v>23</v>
      </c>
    </row>
    <row r="15" spans="1:9">
      <c r="A15" s="3" t="s">
        <v>24</v>
      </c>
      <c r="B15">
        <v>7</v>
      </c>
      <c r="C15" s="10">
        <v>65</v>
      </c>
      <c r="D15" s="5">
        <f>B15*0.86</f>
        <v>6.02</v>
      </c>
      <c r="E15" s="5">
        <f t="shared" ref="E15" si="2">B15-D15</f>
        <v>0.98000000000000043</v>
      </c>
      <c r="F15" s="5">
        <f>C15*0.63</f>
        <v>40.950000000000003</v>
      </c>
      <c r="G15" s="5">
        <f>C15-F15</f>
        <v>24.049999999999997</v>
      </c>
      <c r="H15" s="6">
        <f>D15*G15/(E15*F15)</f>
        <v>3.6077097505668911</v>
      </c>
      <c r="I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F506-6C1B-46D9-9643-446CBCEFAADD}">
  <dimension ref="A1:I8"/>
  <sheetViews>
    <sheetView workbookViewId="0">
      <selection activeCell="I8" sqref="I8"/>
    </sheetView>
  </sheetViews>
  <sheetFormatPr defaultRowHeight="15"/>
  <cols>
    <col min="1" max="1" width="13.5703125" bestFit="1" customWidth="1"/>
    <col min="4" max="4" width="10.7109375" bestFit="1" customWidth="1"/>
    <col min="5" max="5" width="14.140625" bestFit="1" customWidth="1"/>
    <col min="6" max="6" width="12" bestFit="1" customWidth="1"/>
    <col min="7" max="7" width="15.42578125" bestFit="1" customWidth="1"/>
    <col min="8" max="8" width="13.7109375" bestFit="1" customWidth="1"/>
    <col min="9" max="9" width="30.28515625" customWidth="1"/>
  </cols>
  <sheetData>
    <row r="1" spans="1:9">
      <c r="A1" s="17" t="s">
        <v>0</v>
      </c>
      <c r="B1" s="17" t="s">
        <v>1</v>
      </c>
      <c r="C1" s="17" t="s">
        <v>2</v>
      </c>
      <c r="D1" s="17" t="s">
        <v>26</v>
      </c>
      <c r="E1" s="17" t="s">
        <v>27</v>
      </c>
      <c r="F1" s="17" t="s">
        <v>28</v>
      </c>
      <c r="G1" s="17" t="s">
        <v>29</v>
      </c>
      <c r="H1" s="17" t="s">
        <v>30</v>
      </c>
      <c r="I1" s="17" t="s">
        <v>31</v>
      </c>
    </row>
    <row r="2" spans="1:9">
      <c r="A2" t="s">
        <v>32</v>
      </c>
      <c r="B2">
        <v>72</v>
      </c>
      <c r="C2">
        <v>119</v>
      </c>
      <c r="D2">
        <v>5</v>
      </c>
      <c r="E2">
        <f>B2-D2</f>
        <v>67</v>
      </c>
      <c r="F2">
        <v>8</v>
      </c>
      <c r="G2">
        <f>C2-F2</f>
        <v>111</v>
      </c>
      <c r="H2">
        <f>D2*G2/(E2*F2)</f>
        <v>1.0354477611940298</v>
      </c>
    </row>
    <row r="3" spans="1:9">
      <c r="A3" s="3" t="s">
        <v>33</v>
      </c>
      <c r="B3">
        <v>3304</v>
      </c>
      <c r="C3">
        <v>7930</v>
      </c>
      <c r="D3">
        <v>36</v>
      </c>
      <c r="E3">
        <f t="shared" ref="E3:E7" si="0">B3-D3</f>
        <v>3268</v>
      </c>
      <c r="F3">
        <v>249</v>
      </c>
      <c r="G3">
        <f>C3-F3</f>
        <v>7681</v>
      </c>
      <c r="H3">
        <f>D3*G3/(E3*F3)</f>
        <v>0.33981212487649498</v>
      </c>
    </row>
    <row r="4" spans="1:9">
      <c r="A4" s="7" t="s">
        <v>34</v>
      </c>
      <c r="B4">
        <v>27</v>
      </c>
      <c r="C4">
        <v>60</v>
      </c>
      <c r="D4">
        <v>8</v>
      </c>
      <c r="E4">
        <f t="shared" si="0"/>
        <v>19</v>
      </c>
      <c r="F4">
        <v>24</v>
      </c>
      <c r="G4">
        <f>C4-F4</f>
        <v>36</v>
      </c>
      <c r="H4">
        <f>D4*G4/(E4*F4)</f>
        <v>0.63157894736842102</v>
      </c>
      <c r="I4" t="s">
        <v>35</v>
      </c>
    </row>
    <row r="5" spans="1:9">
      <c r="A5" s="3" t="s">
        <v>36</v>
      </c>
      <c r="B5">
        <v>8</v>
      </c>
      <c r="C5">
        <v>51</v>
      </c>
      <c r="D5">
        <v>4</v>
      </c>
      <c r="E5" s="5">
        <f t="shared" si="0"/>
        <v>4</v>
      </c>
      <c r="F5">
        <v>38</v>
      </c>
      <c r="G5" s="5">
        <f>C5-F5</f>
        <v>13</v>
      </c>
      <c r="H5">
        <f>D5*G5/(E5*F5)</f>
        <v>0.34210526315789475</v>
      </c>
    </row>
    <row r="6" spans="1:9">
      <c r="A6" s="3" t="s">
        <v>37</v>
      </c>
      <c r="B6">
        <v>399</v>
      </c>
      <c r="C6">
        <v>820</v>
      </c>
      <c r="D6">
        <v>48</v>
      </c>
      <c r="E6" s="5">
        <f t="shared" si="0"/>
        <v>351</v>
      </c>
      <c r="F6">
        <v>208</v>
      </c>
      <c r="G6" s="5">
        <f>C6-F6</f>
        <v>612</v>
      </c>
      <c r="H6">
        <f>D6*G6/(E6*F6)</f>
        <v>0.40236686390532544</v>
      </c>
    </row>
    <row r="7" spans="1:9" ht="43.5">
      <c r="A7" s="3" t="s">
        <v>38</v>
      </c>
      <c r="B7">
        <f>1519+1715</f>
        <v>3234</v>
      </c>
      <c r="C7">
        <f>5207+5408</f>
        <v>10615</v>
      </c>
      <c r="D7" s="5">
        <f>70+0.064*1715</f>
        <v>179.76</v>
      </c>
      <c r="E7" s="5">
        <f t="shared" si="0"/>
        <v>3054.24</v>
      </c>
      <c r="F7">
        <f>573+601</f>
        <v>1174</v>
      </c>
      <c r="G7" s="5">
        <f>C7-F7</f>
        <v>9441</v>
      </c>
      <c r="H7">
        <f>D7*G7/(E7*F7)</f>
        <v>0.47330359100646013</v>
      </c>
      <c r="I7" s="19" t="s">
        <v>39</v>
      </c>
    </row>
    <row r="8" spans="1:9" ht="174">
      <c r="A8" s="3" t="s">
        <v>40</v>
      </c>
      <c r="B8">
        <v>994</v>
      </c>
      <c r="C8">
        <v>2310</v>
      </c>
      <c r="D8">
        <v>109</v>
      </c>
      <c r="E8" s="5">
        <f t="shared" ref="E8" si="1">B8-D8</f>
        <v>885</v>
      </c>
      <c r="F8">
        <v>578</v>
      </c>
      <c r="G8" s="5">
        <f>C8-F8</f>
        <v>1732</v>
      </c>
      <c r="H8">
        <f>D8*G8/(E8*F8)</f>
        <v>0.36906535296072568</v>
      </c>
      <c r="I8" s="19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CD15-ED53-47A8-8C2D-C5DCD696FFE3}">
  <dimension ref="A1:I6"/>
  <sheetViews>
    <sheetView workbookViewId="0">
      <selection activeCell="A7" sqref="A7:XFD7"/>
    </sheetView>
  </sheetViews>
  <sheetFormatPr defaultRowHeight="15"/>
  <cols>
    <col min="1" max="1" width="13.42578125" bestFit="1" customWidth="1"/>
    <col min="4" max="4" width="11.42578125" bestFit="1" customWidth="1"/>
    <col min="5" max="5" width="14.85546875" bestFit="1" customWidth="1"/>
    <col min="6" max="6" width="11.42578125" bestFit="1" customWidth="1"/>
    <col min="7" max="7" width="14.85546875" bestFit="1" customWidth="1"/>
    <col min="8" max="8" width="14.140625" bestFit="1" customWidth="1"/>
    <col min="9" max="9" width="49.5703125" customWidth="1"/>
  </cols>
  <sheetData>
    <row r="1" spans="1:9">
      <c r="A1" s="16" t="s">
        <v>0</v>
      </c>
      <c r="B1" s="16" t="s">
        <v>42</v>
      </c>
      <c r="C1" s="16" t="s">
        <v>43</v>
      </c>
      <c r="D1" s="16" t="s">
        <v>44</v>
      </c>
      <c r="E1" s="16" t="s">
        <v>45</v>
      </c>
      <c r="F1" s="16" t="s">
        <v>46</v>
      </c>
      <c r="G1" s="16" t="s">
        <v>47</v>
      </c>
      <c r="H1" s="16" t="s">
        <v>48</v>
      </c>
      <c r="I1" s="16" t="s">
        <v>49</v>
      </c>
    </row>
    <row r="2" spans="1:9">
      <c r="A2" s="3" t="s">
        <v>32</v>
      </c>
      <c r="B2">
        <v>65</v>
      </c>
      <c r="C2">
        <v>121</v>
      </c>
      <c r="D2">
        <v>16</v>
      </c>
      <c r="E2" s="5">
        <f>B2-D2</f>
        <v>49</v>
      </c>
      <c r="F2">
        <v>41</v>
      </c>
      <c r="G2" s="5">
        <f>C2-F2</f>
        <v>80</v>
      </c>
      <c r="H2">
        <f>D2*G2/(E2*F2)</f>
        <v>0.63713290194126426</v>
      </c>
      <c r="I2" t="s">
        <v>50</v>
      </c>
    </row>
    <row r="3" spans="1:9">
      <c r="A3" s="7" t="s">
        <v>51</v>
      </c>
      <c r="B3" s="5">
        <f>(222/0.1+798/0.37)/2</f>
        <v>2188.3783783783783</v>
      </c>
      <c r="C3" s="5">
        <f>(4162/0.66+1577/0.25)/2</f>
        <v>6307.030303030303</v>
      </c>
      <c r="D3">
        <v>798</v>
      </c>
      <c r="E3" s="5">
        <f>B3-D3</f>
        <v>1390.3783783783783</v>
      </c>
      <c r="F3">
        <v>4162</v>
      </c>
      <c r="G3" s="5">
        <f>C3-F3</f>
        <v>2145.030303030303</v>
      </c>
      <c r="H3" s="6">
        <f t="shared" ref="H3:H6" si="0">(G3*D3)/(F3*E3)</f>
        <v>0.2958020924992919</v>
      </c>
    </row>
    <row r="4" spans="1:9" ht="101.25">
      <c r="A4" s="3" t="s">
        <v>52</v>
      </c>
      <c r="B4" s="5">
        <v>100</v>
      </c>
      <c r="C4" s="5">
        <v>100</v>
      </c>
      <c r="D4" s="5">
        <f>(0.703*54.9 + 0.297*11.1)</f>
        <v>41.891399999999997</v>
      </c>
      <c r="E4" s="5">
        <f>B4-D4</f>
        <v>58.108600000000003</v>
      </c>
      <c r="F4" s="5">
        <f>(0.703*75.6 + 0.297*35)</f>
        <v>63.541799999999995</v>
      </c>
      <c r="G4" s="5">
        <f>C4-F4</f>
        <v>36.458200000000005</v>
      </c>
      <c r="H4" s="6">
        <f t="shared" si="0"/>
        <v>0.41363775484270249</v>
      </c>
      <c r="I4" s="19" t="s">
        <v>53</v>
      </c>
    </row>
    <row r="5" spans="1:9">
      <c r="A5" s="3" t="s">
        <v>54</v>
      </c>
      <c r="B5" s="5">
        <f>147*0.16</f>
        <v>23.52</v>
      </c>
      <c r="C5" s="5">
        <f>147*0.79</f>
        <v>116.13000000000001</v>
      </c>
      <c r="D5" s="5">
        <f>147*0.16*0.2</f>
        <v>4.7039999999999997</v>
      </c>
      <c r="E5" s="5">
        <f>B5-D5</f>
        <v>18.815999999999999</v>
      </c>
      <c r="F5" s="5">
        <f>147*0.79*0.4</f>
        <v>46.452000000000005</v>
      </c>
      <c r="G5" s="5">
        <f>C5-F5</f>
        <v>69.677999999999997</v>
      </c>
      <c r="H5" s="6">
        <f t="shared" si="0"/>
        <v>0.375</v>
      </c>
      <c r="I5" t="s">
        <v>55</v>
      </c>
    </row>
    <row r="6" spans="1:9" ht="43.5">
      <c r="A6" s="7" t="s">
        <v>56</v>
      </c>
      <c r="B6">
        <v>66</v>
      </c>
      <c r="C6">
        <v>76</v>
      </c>
      <c r="D6" s="5">
        <v>8</v>
      </c>
      <c r="E6" s="5">
        <f>B6-D6</f>
        <v>58</v>
      </c>
      <c r="F6" s="5">
        <v>16</v>
      </c>
      <c r="G6" s="5">
        <f>C6-F6</f>
        <v>60</v>
      </c>
      <c r="H6" s="6">
        <f t="shared" si="0"/>
        <v>0.51724137931034486</v>
      </c>
      <c r="I6" s="19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8A54-6BD5-4851-86BC-15D2A830E19E}">
  <dimension ref="A1:I4"/>
  <sheetViews>
    <sheetView tabSelected="1" workbookViewId="0">
      <selection activeCell="A5" sqref="A5:XFD5"/>
    </sheetView>
  </sheetViews>
  <sheetFormatPr defaultRowHeight="15"/>
  <cols>
    <col min="1" max="1" width="13.42578125" bestFit="1" customWidth="1"/>
    <col min="4" max="4" width="10.7109375" bestFit="1" customWidth="1"/>
    <col min="5" max="5" width="14.140625" bestFit="1" customWidth="1"/>
    <col min="6" max="6" width="10.7109375" bestFit="1" customWidth="1"/>
    <col min="7" max="7" width="14.140625" bestFit="1" customWidth="1"/>
    <col min="8" max="8" width="13.7109375" bestFit="1" customWidth="1"/>
    <col min="9" max="9" width="36.140625" customWidth="1"/>
  </cols>
  <sheetData>
    <row r="1" spans="1:9">
      <c r="A1" s="15" t="s">
        <v>0</v>
      </c>
      <c r="B1" s="15" t="s">
        <v>42</v>
      </c>
      <c r="C1" s="15" t="s">
        <v>43</v>
      </c>
      <c r="D1" s="15" t="s">
        <v>58</v>
      </c>
      <c r="E1" s="15" t="s">
        <v>59</v>
      </c>
      <c r="F1" s="15" t="s">
        <v>60</v>
      </c>
      <c r="G1" s="15" t="s">
        <v>61</v>
      </c>
      <c r="H1" s="15" t="s">
        <v>62</v>
      </c>
      <c r="I1" s="15" t="s">
        <v>49</v>
      </c>
    </row>
    <row r="2" spans="1:9">
      <c r="A2" s="3" t="s">
        <v>32</v>
      </c>
      <c r="B2">
        <v>65</v>
      </c>
      <c r="C2">
        <v>121</v>
      </c>
      <c r="D2">
        <v>2</v>
      </c>
      <c r="E2">
        <f>B2-D2</f>
        <v>63</v>
      </c>
      <c r="F2">
        <v>11</v>
      </c>
      <c r="G2">
        <f>C2-F2</f>
        <v>110</v>
      </c>
      <c r="H2">
        <f>D2*G2/(E2*F2)</f>
        <v>0.31746031746031744</v>
      </c>
    </row>
    <row r="3" spans="1:9">
      <c r="A3" s="7" t="s">
        <v>51</v>
      </c>
      <c r="H3" s="18" t="s">
        <v>63</v>
      </c>
      <c r="I3" t="s">
        <v>64</v>
      </c>
    </row>
    <row r="4" spans="1:9" ht="43.5">
      <c r="A4" s="7" t="s">
        <v>65</v>
      </c>
      <c r="H4" s="18" t="s">
        <v>66</v>
      </c>
      <c r="I4" s="1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2025-11-07T18:08:26Z</dcterms:created>
  <dcterms:modified xsi:type="dcterms:W3CDTF">2025-11-23T18:37:54Z</dcterms:modified>
  <cp:category/>
  <cp:contentStatus/>
</cp:coreProperties>
</file>